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iers" sheetId="2" state="visible" r:id="rId2"/>
    <sheet name="Regions" sheetId="3" state="visible" r:id="rId3"/>
    <sheet name="Assumptions" sheetId="4" state="visible" r:id="rId4"/>
    <sheet name="Placement" sheetId="5" state="visible" r:id="rId5"/>
    <sheet name="Crosso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000"/>
    <numFmt numFmtId="167" formatCode="0.0000000"/>
    <numFmt numFmtId="168" formatCode="0.0000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  <xf numFmtId="1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MRM Crossover Model  v0.1  (placeholder values — replace with real data)</t>
        </is>
      </c>
    </row>
    <row r="2"/>
    <row r="3">
      <c r="A3" s="1" t="inlineStr">
        <is>
          <t>PURPOSE</t>
        </is>
      </c>
    </row>
    <row r="4">
      <c r="A4" t="inlineStr">
        <is>
          <t>Answers two questions for the 'Retention-Aware Memory Placement on Reused Hardware' paper:</t>
        </is>
      </c>
    </row>
    <row r="5">
      <c r="A5" t="inlineStr">
        <is>
          <t xml:space="preserve">  1. PLACEMENT  — given per-region bandwidth demand (Phase-1 metrics.csv), which memory tier is carbon/energy/throughput optimal?</t>
        </is>
      </c>
    </row>
    <row r="6">
      <c r="A6" t="inlineStr">
        <is>
          <t xml:space="preserve">  2. CROSSOVER  — at what utilisation does reusing an old server beat buying a new one (gCO2e per inference job)?</t>
        </is>
      </c>
    </row>
    <row r="7"/>
    <row r="8">
      <c r="A8" s="1" t="inlineStr">
        <is>
          <t>SHEETS</t>
        </is>
      </c>
    </row>
    <row r="9">
      <c r="A9" t="inlineStr">
        <is>
          <t xml:space="preserve">  Tiers       YELLOW = edit: memory tier parameters (BW, capacity, $/GB, embodied kgCO2e/GB).</t>
        </is>
      </c>
    </row>
    <row r="10">
      <c r="A10" t="inlineStr">
        <is>
          <t xml:space="preserve">  Regions     YELLOW = paste from metrics.csv: per-region metrics from Phase-1 sweep.</t>
        </is>
      </c>
    </row>
    <row r="11">
      <c r="A11" t="inlineStr">
        <is>
          <t xml:space="preserve">  Assumptions YELLOW = edit: SLA throughput, batch size, grid intensity, hardware specs.</t>
        </is>
      </c>
    </row>
    <row r="12">
      <c r="A12" t="inlineStr">
        <is>
          <t xml:space="preserve">  Placement   DERIVED: feasibility + carbon/energy/speed optimal tier per region.</t>
        </is>
      </c>
    </row>
    <row r="13">
      <c r="A13" t="inlineStr">
        <is>
          <t xml:space="preserve">  Crossover   DERIVED: (a) max servable model size by tier; (b) reused-vs-new gCO2e/job.</t>
        </is>
      </c>
    </row>
    <row r="14"/>
    <row r="15">
      <c r="A15" s="1" t="inlineStr">
        <is>
          <t>HOW TO USE</t>
        </is>
      </c>
    </row>
    <row r="16">
      <c r="A16" t="inlineStr">
        <is>
          <t xml:space="preserve">  1. Fill Tiers with datasheet values for your hardware.</t>
        </is>
      </c>
    </row>
    <row r="17">
      <c r="A17" t="inlineStr">
        <is>
          <t xml:space="preserve">  2. Paste Phase-1 aggregated metrics into Regions.</t>
        </is>
      </c>
    </row>
    <row r="18">
      <c r="A18" t="inlineStr">
        <is>
          <t xml:space="preserve">  3. Set Assumptions to match your deployment scenario.</t>
        </is>
      </c>
    </row>
    <row r="19">
      <c r="A19" t="inlineStr">
        <is>
          <t xml:space="preserve">  4. Placement and Crossover recompute automatically — no macros.</t>
        </is>
      </c>
    </row>
    <row r="20">
      <c r="A20" t="inlineStr">
        <is>
          <t xml:space="preserve">  5. For paper figures: screenshot Placement summary rows and Crossover Part 2 table.</t>
        </is>
      </c>
    </row>
    <row r="21"/>
    <row r="22">
      <c r="A22" s="1" t="inlineStr">
        <is>
          <t>CAVEATS (must appear in paper)</t>
        </is>
      </c>
    </row>
    <row r="23">
      <c r="A23" t="inlineStr">
        <is>
          <t xml:space="preserve">  • Placement scores each region against full tier capacity independently — not a bin-packing model.</t>
        </is>
      </c>
    </row>
    <row r="24">
      <c r="A24" t="inlineStr">
        <is>
          <t xml:space="preserve">    VRAM contention between weights + KV is not captured. Mark as 'v2 extension'.</t>
        </is>
      </c>
    </row>
    <row r="25">
      <c r="A25" t="inlineStr">
        <is>
          <t xml:space="preserve">  • Crossover is sensitive to grid intensity. Report crossover utilisation for:</t>
        </is>
      </c>
    </row>
    <row r="26">
      <c r="A26" t="inlineStr">
        <is>
          <t xml:space="preserve">    clean grid (50 gCO2e/kWh) and dirty grid (350 gCO2e/kWh) — both scenarios.</t>
        </is>
      </c>
    </row>
    <row r="27">
      <c r="A27" t="inlineStr">
        <is>
          <t xml:space="preserve">  • Proxy caveat: CPU PEBS retention durations are observed cache-hierarchy lifetimes,</t>
        </is>
      </c>
    </row>
    <row r="28">
      <c r="A28" t="inlineStr">
        <is>
          <t xml:space="preserve">    not hardware retention requirements. Write-once ratio and read-frequency ordering transfer.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42" customWidth="1" min="8" max="8"/>
  </cols>
  <sheetData>
    <row r="1">
      <c r="A1" s="2" t="inlineStr">
        <is>
          <t>Tier</t>
        </is>
      </c>
      <c r="B1" s="2" t="inlineStr">
        <is>
          <t>BW
(GB/s)</t>
        </is>
      </c>
      <c r="C1" s="2" t="inlineStr">
        <is>
          <t>Capacity
(GB/node)</t>
        </is>
      </c>
      <c r="D1" s="2" t="inlineStr">
        <is>
          <t>$/GB/mo</t>
        </is>
      </c>
      <c r="E1" s="2" t="inlineStr">
        <is>
          <t>Rd energy
(pJ/bit)</t>
        </is>
      </c>
      <c r="F1" s="2" t="inlineStr">
        <is>
          <t>Wr energy
(pJ/bit)</t>
        </is>
      </c>
      <c r="G1" s="2" t="inlineStr">
        <is>
          <t>Embodied
(kgCO2e/GB)</t>
        </is>
      </c>
      <c r="H1" s="2" t="inlineStr">
        <is>
          <t>Notes</t>
        </is>
      </c>
    </row>
    <row r="2">
      <c r="A2" s="3" t="inlineStr">
        <is>
          <t>VRAM (HBM)</t>
        </is>
      </c>
      <c r="B2" s="4" t="n">
        <v>900</v>
      </c>
      <c r="C2" s="4" t="n">
        <v>16</v>
      </c>
      <c r="D2" s="5" t="n">
        <v>0.8</v>
      </c>
      <c r="E2" s="6" t="n">
        <v>3.5</v>
      </c>
      <c r="F2" s="6" t="n">
        <v>7</v>
      </c>
      <c r="G2" s="5" t="n">
        <v>0.025</v>
      </c>
      <c r="H2" s="3" t="inlineStr">
        <is>
          <t>RTX 3080 16 GB — replace with datasheet</t>
        </is>
      </c>
    </row>
    <row r="3">
      <c r="A3" s="3" t="inlineStr">
        <is>
          <t>DRAM (DDR5)</t>
        </is>
      </c>
      <c r="B3" s="4" t="n">
        <v>100</v>
      </c>
      <c r="C3" s="4" t="n">
        <v>32</v>
      </c>
      <c r="D3" s="5" t="n">
        <v>0.1</v>
      </c>
      <c r="E3" s="6" t="n">
        <v>8</v>
      </c>
      <c r="F3" s="6" t="n">
        <v>16</v>
      </c>
      <c r="G3" s="5" t="n">
        <v>0.01</v>
      </c>
      <c r="H3" s="3" t="inlineStr">
        <is>
          <t>Server DRAM — replace with datasheet</t>
        </is>
      </c>
    </row>
    <row r="4">
      <c r="A4" s="3" t="inlineStr">
        <is>
          <t>NVMe (PCIe 4)</t>
        </is>
      </c>
      <c r="B4" s="4" t="n">
        <v>7</v>
      </c>
      <c r="C4" s="4" t="n">
        <v>3400</v>
      </c>
      <c r="D4" s="5" t="n">
        <v>0.02</v>
      </c>
      <c r="E4" s="6" t="n">
        <v>50</v>
      </c>
      <c r="F4" s="6" t="n">
        <v>100</v>
      </c>
      <c r="G4" s="5" t="n">
        <v>0.002</v>
      </c>
      <c r="H4" s="3" t="inlineStr">
        <is>
          <t>Samsung 990 Pro 4 TB — replace with datasheet</t>
        </is>
      </c>
    </row>
    <row r="6">
      <c r="A6" t="inlineStr">
        <is>
          <t>(add rows for more tiers: CXL, PMEM, …)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</cols>
  <sheetData>
    <row r="1">
      <c r="A1" s="2" t="inlineStr">
        <is>
          <t>Region</t>
        </is>
      </c>
      <c r="B1" s="2" t="inlineStr">
        <is>
          <t>Peak BW
demand
(GB/s)</t>
        </is>
      </c>
      <c r="C1" s="2" t="inlineStr">
        <is>
          <t>Retention
p99 (s)</t>
        </is>
      </c>
      <c r="D1" s="2" t="inlineStr">
        <is>
          <t>Write-once
ratio</t>
        </is>
      </c>
      <c r="E1" s="2" t="inlineStr">
        <is>
          <t>Read freq
(reads/write)</t>
        </is>
      </c>
      <c r="F1" s="2" t="inlineStr">
        <is>
          <t>Avg size
(GB, 7B Q4)</t>
        </is>
      </c>
      <c r="G1" s="2" t="inlineStr">
        <is>
          <t>Writes/
inference</t>
        </is>
      </c>
      <c r="H1" s="2" t="inlineStr">
        <is>
          <t>Reads/
inference</t>
        </is>
      </c>
      <c r="I1" s="2" t="inlineStr">
        <is>
          <t>Source / notes</t>
        </is>
      </c>
    </row>
    <row r="2">
      <c r="A2" s="3" t="inlineStr">
        <is>
          <t>weights</t>
        </is>
      </c>
      <c r="B2" s="6" t="n">
        <v>200</v>
      </c>
      <c r="C2" s="7" t="n">
        <v>30</v>
      </c>
      <c r="D2" s="7" t="n">
        <v>0.99</v>
      </c>
      <c r="E2" s="6" t="n">
        <v>50</v>
      </c>
      <c r="F2" s="7" t="n">
        <v>3.8</v>
      </c>
      <c r="G2" s="8" t="n">
        <v>1</v>
      </c>
      <c r="H2" s="8" t="n">
        <v>50</v>
      </c>
      <c r="I2" s="3" t="inlineStr">
        <is>
          <t>Phase-1 metrics.csv placeholder — replace with measured values</t>
        </is>
      </c>
    </row>
    <row r="3">
      <c r="A3" s="3" t="inlineStr">
        <is>
          <t>kv_cache</t>
        </is>
      </c>
      <c r="B3" s="6" t="n">
        <v>40</v>
      </c>
      <c r="C3" s="7" t="n">
        <v>0.5</v>
      </c>
      <c r="D3" s="7" t="n">
        <v>0.1</v>
      </c>
      <c r="E3" s="6" t="n">
        <v>5</v>
      </c>
      <c r="F3" s="7" t="n">
        <v>1.2</v>
      </c>
      <c r="G3" s="8" t="n">
        <v>50</v>
      </c>
      <c r="H3" s="8" t="n">
        <v>250</v>
      </c>
      <c r="I3" s="3" t="inlineStr">
        <is>
          <t>Phase-1 metrics.csv placeholder</t>
        </is>
      </c>
    </row>
    <row r="4">
      <c r="A4" s="3" t="inlineStr">
        <is>
          <t>activations</t>
        </is>
      </c>
      <c r="B4" s="6" t="n">
        <v>80</v>
      </c>
      <c r="C4" s="7" t="n">
        <v>0.01</v>
      </c>
      <c r="D4" s="7" t="n">
        <v>0.4</v>
      </c>
      <c r="E4" s="6" t="n">
        <v>2</v>
      </c>
      <c r="F4" s="7" t="n">
        <v>0.05</v>
      </c>
      <c r="G4" s="8" t="n">
        <v>200</v>
      </c>
      <c r="H4" s="8" t="n">
        <v>400</v>
      </c>
      <c r="I4" s="3" t="inlineStr">
        <is>
          <t>Phase-1 metrics.csv 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SLA throughput (tok/s)</t>
        </is>
      </c>
      <c r="B2" s="3" t="n">
        <v>50</v>
      </c>
      <c r="C2" t="inlineStr">
        <is>
          <t>Target generation throughput</t>
        </is>
      </c>
    </row>
    <row r="3">
      <c r="A3" t="inlineStr">
        <is>
          <t>Batch size (inferences/job)</t>
        </is>
      </c>
      <c r="B3" s="3" t="n">
        <v>8</v>
      </c>
      <c r="C3" t="inlineStr">
        <is>
          <t>Concurrent inferences per job</t>
        </is>
      </c>
    </row>
    <row r="4">
      <c r="A4" t="inlineStr">
        <is>
          <t>Grid intensity (gCO2e/kWh)</t>
        </is>
      </c>
      <c r="B4" s="3" t="n">
        <v>350</v>
      </c>
      <c r="C4" t="inlineStr">
        <is>
          <t>UK ~250, US avg ~386, clean grid ~50</t>
        </is>
      </c>
    </row>
    <row r="5">
      <c r="A5" t="inlineStr">
        <is>
          <t>Reused server age (years)</t>
        </is>
      </c>
      <c r="B5" s="3" t="n">
        <v>4</v>
      </c>
      <c r="C5" t="inlineStr">
        <is>
          <t>Age of partner machine at deployment start</t>
        </is>
      </c>
    </row>
    <row r="6">
      <c r="A6" t="inlineStr">
        <is>
          <t>Reused server lifetime (years)</t>
        </is>
      </c>
      <c r="B6" s="3" t="n">
        <v>8</v>
      </c>
      <c r="C6" t="inlineStr">
        <is>
          <t>Total expected lifetime before e-waste</t>
        </is>
      </c>
    </row>
    <row r="7">
      <c r="A7" t="inlineStr">
        <is>
          <t>New device embodied (kgCO2e)</t>
        </is>
      </c>
      <c r="B7" s="3" t="n">
        <v>400</v>
      </c>
      <c r="C7" t="inlineStr">
        <is>
          <t>Full server embodied carbon (device + share, LCA)</t>
        </is>
      </c>
    </row>
    <row r="8">
      <c r="A8" t="inlineStr">
        <is>
          <t>New device lifetime (years)</t>
        </is>
      </c>
      <c r="B8" s="3" t="n">
        <v>5</v>
      </c>
      <c r="C8" t="inlineStr">
        <is>
          <t>Typical 5-year datacenter amortisation</t>
        </is>
      </c>
    </row>
    <row r="9">
      <c r="A9" t="inlineStr">
        <is>
          <t>Deployment hours/year</t>
        </is>
      </c>
      <c r="B9" s="3" t="n">
        <v>4380</v>
      </c>
      <c r="C9" t="inlineStr">
        <is>
          <t>50% utilisation baseline = 4380 h/year</t>
        </is>
      </c>
    </row>
    <row r="10">
      <c r="A10" t="inlineStr">
        <is>
          <t>Reused server TDP (W)</t>
        </is>
      </c>
      <c r="B10" s="3" t="n">
        <v>250</v>
      </c>
      <c r="C10" t="inlineStr">
        <is>
          <t>i9-11980HK + RTX 3080 sustained load</t>
        </is>
      </c>
    </row>
    <row r="11">
      <c r="A11" t="inlineStr">
        <is>
          <t>New device TDP (W)</t>
        </is>
      </c>
      <c r="B11" s="3" t="n">
        <v>100</v>
      </c>
      <c r="C11" t="inlineStr">
        <is>
          <t>Modern efficient accelerator (2.5× more efficient than reused i9 setup per inference)</t>
        </is>
      </c>
    </row>
    <row r="12">
      <c r="A12" t="inlineStr">
        <is>
          <t>Min SLA BW (GB/s)</t>
        </is>
      </c>
      <c r="B12" s="3" t="n">
        <v>50</v>
      </c>
      <c r="C12" t="inlineStr">
        <is>
          <t>Minimum sustained BW for SLA throughput</t>
        </is>
      </c>
    </row>
    <row r="14">
      <c r="A14" s="1" t="inlineStr">
        <is>
          <t>Row reference map (for formula auditing)</t>
        </is>
      </c>
    </row>
    <row r="15">
      <c r="A15" t="inlineStr">
        <is>
          <t>B2 = SLA throughput (tok/s)</t>
        </is>
      </c>
    </row>
    <row r="16">
      <c r="A16" t="inlineStr">
        <is>
          <t>B3 = Batch size (inferences/job)</t>
        </is>
      </c>
    </row>
    <row r="17">
      <c r="A17" t="inlineStr">
        <is>
          <t>B4 = Grid intensity (gCO2e/kWh)</t>
        </is>
      </c>
    </row>
    <row r="18">
      <c r="A18" t="inlineStr">
        <is>
          <t>B5 = Reused server age (years)</t>
        </is>
      </c>
    </row>
    <row r="19">
      <c r="A19" t="inlineStr">
        <is>
          <t>B6 = Reused server lifetime (years)</t>
        </is>
      </c>
    </row>
    <row r="20">
      <c r="A20" t="inlineStr">
        <is>
          <t>B7 = New device embodied (kgCO2e)</t>
        </is>
      </c>
    </row>
    <row r="21">
      <c r="A21" t="inlineStr">
        <is>
          <t>B8 = New device lifetime (years)</t>
        </is>
      </c>
    </row>
    <row r="22">
      <c r="A22" t="inlineStr">
        <is>
          <t>B9 = Deployment hours/year</t>
        </is>
      </c>
    </row>
    <row r="23">
      <c r="A23" t="inlineStr">
        <is>
          <t>B10 = Reused server TDP (W)</t>
        </is>
      </c>
    </row>
    <row r="24">
      <c r="A24" t="inlineStr">
        <is>
          <t>B11 = New device TDP (W)</t>
        </is>
      </c>
    </row>
    <row r="25">
      <c r="A25" t="inlineStr">
        <is>
          <t>B12 = Min SLA BW (GB/s)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8" customWidth="1" min="8" max="8"/>
    <col width="14" customWidth="1" min="9" max="9"/>
    <col width="8" customWidth="1" min="10" max="10"/>
    <col width="22" customWidth="1" min="11" max="11"/>
    <col width="22" customWidth="1" min="12" max="12"/>
  </cols>
  <sheetData>
    <row r="1">
      <c r="A1" s="2" t="inlineStr">
        <is>
          <t>Region</t>
        </is>
      </c>
      <c r="B1" s="2" t="inlineStr">
        <is>
          <t>Tier</t>
        </is>
      </c>
      <c r="C1" s="2" t="inlineStr">
        <is>
          <t>BW
ok?</t>
        </is>
      </c>
      <c r="D1" s="2" t="inlineStr">
        <is>
          <t>Cap
ok?</t>
        </is>
      </c>
      <c r="E1" s="2" t="inlineStr">
        <is>
          <t>Feasible?</t>
        </is>
      </c>
      <c r="F1" s="2" t="inlineStr">
        <is>
          <t>Active energy
(mWh/job)</t>
        </is>
      </c>
      <c r="G1" s="2" t="inlineStr">
        <is>
          <t>Embodied alloc
(mgCO2e/job)</t>
        </is>
      </c>
      <c r="H1" s="2" t="inlineStr">
        <is>
          <t>Total carbon
(mgCO2e/job)</t>
        </is>
      </c>
      <c r="I1" s="2" t="inlineStr">
        <is>
          <t>Speed score
(BW headroom)</t>
        </is>
      </c>
      <c r="J1" s="2" t="inlineStr">
        <is>
          <t>Rank</t>
        </is>
      </c>
      <c r="K1" s="2" t="inlineStr">
        <is>
          <t>Notes</t>
        </is>
      </c>
    </row>
    <row r="2">
      <c r="A2">
        <f>Regions!A2</f>
        <v/>
      </c>
      <c r="B2">
        <f>Tiers!A2</f>
        <v/>
      </c>
      <c r="C2">
        <f>IF(Tiers!B2&gt;=Regions!B2,"YES","NO")</f>
        <v/>
      </c>
      <c r="D2">
        <f>IF(Tiers!C2&gt;=Regions!F2,"YES","NO")</f>
        <v/>
      </c>
      <c r="E2">
        <f>IF(AND(C2="YES",D2="YES"),"YES","NO")</f>
        <v/>
      </c>
      <c r="F2" s="9">
        <f>IF(E2="YES",Regions!F2*8e9*Tiers!E2*Regions!H2/1e12/3600*1000,"")</f>
        <v/>
      </c>
      <c r="G2" s="10">
        <f>IF(E2="YES",Tiers!G2*Regions!F2*1e6/(Assumptions!B6*Assumptions!B9*(Assumptions!B2/256*3600)),"")</f>
        <v/>
      </c>
      <c r="H2" s="10">
        <f>IF(E2="YES",F2*Assumptions!B4/1000+G2,"")</f>
        <v/>
      </c>
      <c r="I2" s="11">
        <f>IF(E2="YES",Tiers!B2/Regions!B2,"")</f>
        <v/>
      </c>
      <c r="J2">
        <f>IF(E2="YES",RANK(H2,H2:H4,1),"")</f>
        <v/>
      </c>
    </row>
    <row r="3">
      <c r="A3">
        <f>Regions!A2</f>
        <v/>
      </c>
      <c r="B3">
        <f>Tiers!A3</f>
        <v/>
      </c>
      <c r="C3">
        <f>IF(Tiers!B3&gt;=Regions!B2,"YES","NO")</f>
        <v/>
      </c>
      <c r="D3">
        <f>IF(Tiers!C3&gt;=Regions!F2,"YES","NO")</f>
        <v/>
      </c>
      <c r="E3">
        <f>IF(AND(C3="YES",D3="YES"),"YES","NO")</f>
        <v/>
      </c>
      <c r="F3" s="9">
        <f>IF(E3="YES",Regions!F2*8e9*Tiers!E3*Regions!H2/1e12/3600*1000,"")</f>
        <v/>
      </c>
      <c r="G3" s="10">
        <f>IF(E3="YES",Tiers!G3*Regions!F2*1e6/(Assumptions!B6*Assumptions!B9*(Assumptions!B2/256*3600)),"")</f>
        <v/>
      </c>
      <c r="H3" s="10">
        <f>IF(E3="YES",F3*Assumptions!B4/1000+G3,"")</f>
        <v/>
      </c>
      <c r="I3" s="11">
        <f>IF(E3="YES",Tiers!B3/Regions!B2,"")</f>
        <v/>
      </c>
      <c r="J3">
        <f>IF(E3="YES",RANK(H3,H2:H4,1),"")</f>
        <v/>
      </c>
    </row>
    <row r="4">
      <c r="A4">
        <f>Regions!A2</f>
        <v/>
      </c>
      <c r="B4">
        <f>Tiers!A4</f>
        <v/>
      </c>
      <c r="C4">
        <f>IF(Tiers!B4&gt;=Regions!B2,"YES","NO")</f>
        <v/>
      </c>
      <c r="D4">
        <f>IF(Tiers!C4&gt;=Regions!F2,"YES","NO")</f>
        <v/>
      </c>
      <c r="E4">
        <f>IF(AND(C4="YES",D4="YES"),"YES","NO")</f>
        <v/>
      </c>
      <c r="F4" s="9">
        <f>IF(E4="YES",Regions!F2*8e9*Tiers!E4*Regions!H2/1e12/3600*1000,"")</f>
        <v/>
      </c>
      <c r="G4" s="10">
        <f>IF(E4="YES",Tiers!G4*Regions!F2*1e6/(Assumptions!B6*Assumptions!B9*(Assumptions!B2/256*3600)),"")</f>
        <v/>
      </c>
      <c r="H4" s="10">
        <f>IF(E4="YES",F4*Assumptions!B4/1000+G4,"")</f>
        <v/>
      </c>
      <c r="I4" s="11">
        <f>IF(E4="YES",Tiers!B4/Regions!B2,"")</f>
        <v/>
      </c>
      <c r="J4">
        <f>IF(E4="YES",RANK(H4,H2:H4,1),"")</f>
        <v/>
      </c>
    </row>
    <row r="5"/>
    <row r="6">
      <c r="A6">
        <f>Regions!A3</f>
        <v/>
      </c>
      <c r="B6">
        <f>Tiers!A2</f>
        <v/>
      </c>
      <c r="C6">
        <f>IF(Tiers!B2&gt;=Regions!B3,"YES","NO")</f>
        <v/>
      </c>
      <c r="D6">
        <f>IF(Tiers!C2&gt;=Regions!F3,"YES","NO")</f>
        <v/>
      </c>
      <c r="E6">
        <f>IF(AND(C6="YES",D6="YES"),"YES","NO")</f>
        <v/>
      </c>
      <c r="F6" s="9">
        <f>IF(E6="YES",Regions!F3*8e9*Tiers!E2*Regions!H3/1e12/3600*1000,"")</f>
        <v/>
      </c>
      <c r="G6" s="10">
        <f>IF(E6="YES",Tiers!G2*Regions!F3*1e6/(Assumptions!B6*Assumptions!B9*(Assumptions!B2/256*3600)),"")</f>
        <v/>
      </c>
      <c r="H6" s="10">
        <f>IF(E6="YES",F6*Assumptions!B4/1000+G6,"")</f>
        <v/>
      </c>
      <c r="I6" s="11">
        <f>IF(E6="YES",Tiers!B2/Regions!B3,"")</f>
        <v/>
      </c>
      <c r="J6">
        <f>IF(E6="YES",RANK(H6,H6:H8,1),"")</f>
        <v/>
      </c>
    </row>
    <row r="7">
      <c r="A7">
        <f>Regions!A3</f>
        <v/>
      </c>
      <c r="B7">
        <f>Tiers!A3</f>
        <v/>
      </c>
      <c r="C7">
        <f>IF(Tiers!B3&gt;=Regions!B3,"YES","NO")</f>
        <v/>
      </c>
      <c r="D7">
        <f>IF(Tiers!C3&gt;=Regions!F3,"YES","NO")</f>
        <v/>
      </c>
      <c r="E7">
        <f>IF(AND(C7="YES",D7="YES"),"YES","NO")</f>
        <v/>
      </c>
      <c r="F7" s="9">
        <f>IF(E7="YES",Regions!F3*8e9*Tiers!E3*Regions!H3/1e12/3600*1000,"")</f>
        <v/>
      </c>
      <c r="G7" s="10">
        <f>IF(E7="YES",Tiers!G3*Regions!F3*1e6/(Assumptions!B6*Assumptions!B9*(Assumptions!B2/256*3600)),"")</f>
        <v/>
      </c>
      <c r="H7" s="10">
        <f>IF(E7="YES",F7*Assumptions!B4/1000+G7,"")</f>
        <v/>
      </c>
      <c r="I7" s="11">
        <f>IF(E7="YES",Tiers!B3/Regions!B3,"")</f>
        <v/>
      </c>
      <c r="J7">
        <f>IF(E7="YES",RANK(H7,H6:H8,1),"")</f>
        <v/>
      </c>
    </row>
    <row r="8">
      <c r="A8">
        <f>Regions!A3</f>
        <v/>
      </c>
      <c r="B8">
        <f>Tiers!A4</f>
        <v/>
      </c>
      <c r="C8">
        <f>IF(Tiers!B4&gt;=Regions!B3,"YES","NO")</f>
        <v/>
      </c>
      <c r="D8">
        <f>IF(Tiers!C4&gt;=Regions!F3,"YES","NO")</f>
        <v/>
      </c>
      <c r="E8">
        <f>IF(AND(C8="YES",D8="YES"),"YES","NO")</f>
        <v/>
      </c>
      <c r="F8" s="9">
        <f>IF(E8="YES",Regions!F3*8e9*Tiers!E4*Regions!H3/1e12/3600*1000,"")</f>
        <v/>
      </c>
      <c r="G8" s="10">
        <f>IF(E8="YES",Tiers!G4*Regions!F3*1e6/(Assumptions!B6*Assumptions!B9*(Assumptions!B2/256*3600)),"")</f>
        <v/>
      </c>
      <c r="H8" s="10">
        <f>IF(E8="YES",F8*Assumptions!B4/1000+G8,"")</f>
        <v/>
      </c>
      <c r="I8" s="11">
        <f>IF(E8="YES",Tiers!B4/Regions!B3,"")</f>
        <v/>
      </c>
      <c r="J8">
        <f>IF(E8="YES",RANK(H8,H6:H8,1),"")</f>
        <v/>
      </c>
    </row>
    <row r="9"/>
    <row r="10">
      <c r="A10">
        <f>Regions!A4</f>
        <v/>
      </c>
      <c r="B10">
        <f>Tiers!A2</f>
        <v/>
      </c>
      <c r="C10">
        <f>IF(Tiers!B2&gt;=Regions!B4,"YES","NO")</f>
        <v/>
      </c>
      <c r="D10">
        <f>IF(Tiers!C2&gt;=Regions!F4,"YES","NO")</f>
        <v/>
      </c>
      <c r="E10">
        <f>IF(AND(C10="YES",D10="YES"),"YES","NO")</f>
        <v/>
      </c>
      <c r="F10" s="9">
        <f>IF(E10="YES",Regions!F4*8e9*Tiers!E2*Regions!H4/1e12/3600*1000,"")</f>
        <v/>
      </c>
      <c r="G10" s="10">
        <f>IF(E10="YES",Tiers!G2*Regions!F4*1e6/(Assumptions!B6*Assumptions!B9*(Assumptions!B2/256*3600)),"")</f>
        <v/>
      </c>
      <c r="H10" s="10">
        <f>IF(E10="YES",F10*Assumptions!B4/1000+G10,"")</f>
        <v/>
      </c>
      <c r="I10" s="11">
        <f>IF(E10="YES",Tiers!B2/Regions!B4,"")</f>
        <v/>
      </c>
      <c r="J10">
        <f>IF(E10="YES",RANK(H10,H10:H12,1),"")</f>
        <v/>
      </c>
    </row>
    <row r="11">
      <c r="A11">
        <f>Regions!A4</f>
        <v/>
      </c>
      <c r="B11">
        <f>Tiers!A3</f>
        <v/>
      </c>
      <c r="C11">
        <f>IF(Tiers!B3&gt;=Regions!B4,"YES","NO")</f>
        <v/>
      </c>
      <c r="D11">
        <f>IF(Tiers!C3&gt;=Regions!F4,"YES","NO")</f>
        <v/>
      </c>
      <c r="E11">
        <f>IF(AND(C11="YES",D11="YES"),"YES","NO")</f>
        <v/>
      </c>
      <c r="F11" s="9">
        <f>IF(E11="YES",Regions!F4*8e9*Tiers!E3*Regions!H4/1e12/3600*1000,"")</f>
        <v/>
      </c>
      <c r="G11" s="10">
        <f>IF(E11="YES",Tiers!G3*Regions!F4*1e6/(Assumptions!B6*Assumptions!B9*(Assumptions!B2/256*3600)),"")</f>
        <v/>
      </c>
      <c r="H11" s="10">
        <f>IF(E11="YES",F11*Assumptions!B4/1000+G11,"")</f>
        <v/>
      </c>
      <c r="I11" s="11">
        <f>IF(E11="YES",Tiers!B3/Regions!B4,"")</f>
        <v/>
      </c>
      <c r="J11">
        <f>IF(E11="YES",RANK(H11,H10:H12,1),"")</f>
        <v/>
      </c>
    </row>
    <row r="12">
      <c r="A12">
        <f>Regions!A4</f>
        <v/>
      </c>
      <c r="B12">
        <f>Tiers!A4</f>
        <v/>
      </c>
      <c r="C12">
        <f>IF(Tiers!B4&gt;=Regions!B4,"YES","NO")</f>
        <v/>
      </c>
      <c r="D12">
        <f>IF(Tiers!C4&gt;=Regions!F4,"YES","NO")</f>
        <v/>
      </c>
      <c r="E12">
        <f>IF(AND(C12="YES",D12="YES"),"YES","NO")</f>
        <v/>
      </c>
      <c r="F12" s="9">
        <f>IF(E12="YES",Regions!F4*8e9*Tiers!E4*Regions!H4/1e12/3600*1000,"")</f>
        <v/>
      </c>
      <c r="G12" s="10">
        <f>IF(E12="YES",Tiers!G4*Regions!F4*1e6/(Assumptions!B6*Assumptions!B9*(Assumptions!B2/256*3600)),"")</f>
        <v/>
      </c>
      <c r="H12" s="10">
        <f>IF(E12="YES",F12*Assumptions!B4/1000+G12,"")</f>
        <v/>
      </c>
      <c r="I12" s="11">
        <f>IF(E12="YES",Tiers!B4/Regions!B4,"")</f>
        <v/>
      </c>
      <c r="J12">
        <f>IF(E12="YES",RANK(H12,H10:H12,1),"")</f>
        <v/>
      </c>
    </row>
    <row r="13"/>
    <row r="14">
      <c r="A14" s="1" t="inlineStr">
        <is>
          <t>SUMMARY — optimal tier per region</t>
        </is>
      </c>
    </row>
    <row r="15">
      <c r="A15" s="2" t="inlineStr">
        <is>
          <t>Region</t>
        </is>
      </c>
      <c r="B15" s="2" t="inlineStr">
        <is>
          <t>Feasible
tiers</t>
        </is>
      </c>
      <c r="C15" s="2" t="inlineStr">
        <is>
          <t>Carbon-optimal</t>
        </is>
      </c>
      <c r="D15" s="2" t="inlineStr">
        <is>
          <t>Energy-optimal</t>
        </is>
      </c>
      <c r="E15" s="2" t="inlineStr">
        <is>
          <t>Speed-optimal</t>
        </is>
      </c>
      <c r="F15" s="2" t="inlineStr">
        <is>
          <t>Min carbon
(mgCO2e/job)</t>
        </is>
      </c>
    </row>
    <row r="16">
      <c r="A16">
        <f>Regions!A2</f>
        <v/>
      </c>
      <c r="B16">
        <f>COUNTIF(E2:E4,"YES")</f>
        <v/>
      </c>
      <c r="C16" s="1">
        <f>IFERROR(INDEX(B2:B4,MATCH(MIN(IF(E2:E4="YES",H2:H4)),H2:H4,0)),"no feasible tier")</f>
        <v/>
      </c>
      <c r="D16">
        <f>IFERROR(INDEX(B2:B4,MATCH(MIN(IF(E2:E4="YES",F2:F4)),F2:F4,0)),"no feasible tier")</f>
        <v/>
      </c>
      <c r="E16">
        <f>IFERROR(INDEX(B2:B4,MATCH(MAX(IF(E2:E4="YES",I2:I4)),I2:I4,0)),"no feasible tier")</f>
        <v/>
      </c>
      <c r="F16" s="10">
        <f>IFERROR(MIN(IF(E2:E4="YES",H2:H4)),"")</f>
        <v/>
      </c>
    </row>
    <row r="17">
      <c r="A17">
        <f>Regions!A3</f>
        <v/>
      </c>
      <c r="B17">
        <f>COUNTIF(E6:E8,"YES")</f>
        <v/>
      </c>
      <c r="C17" s="1">
        <f>IFERROR(INDEX(B6:B8,MATCH(MIN(IF(E6:E8="YES",H6:H8)),H6:H8,0)),"no feasible tier")</f>
        <v/>
      </c>
      <c r="D17">
        <f>IFERROR(INDEX(B6:B8,MATCH(MIN(IF(E6:E8="YES",F6:F8)),F6:F8,0)),"no feasible tier")</f>
        <v/>
      </c>
      <c r="E17">
        <f>IFERROR(INDEX(B6:B8,MATCH(MAX(IF(E6:E8="YES",I6:I8)),I6:I8,0)),"no feasible tier")</f>
        <v/>
      </c>
      <c r="F17" s="10">
        <f>IFERROR(MIN(IF(E6:E8="YES",H6:H8)),"")</f>
        <v/>
      </c>
    </row>
    <row r="18">
      <c r="A18">
        <f>Regions!A4</f>
        <v/>
      </c>
      <c r="B18">
        <f>COUNTIF(E10:E12,"YES")</f>
        <v/>
      </c>
      <c r="C18" s="1">
        <f>IFERROR(INDEX(B10:B12,MATCH(MIN(IF(E10:E12="YES",H10:H12)),H10:H12,0)),"no feasible tier")</f>
        <v/>
      </c>
      <c r="D18">
        <f>IFERROR(INDEX(B10:B12,MATCH(MIN(IF(E10:E12="YES",F10:F12)),F10:F12,0)),"no feasible tier")</f>
        <v/>
      </c>
      <c r="E18">
        <f>IFERROR(INDEX(B10:B12,MATCH(MAX(IF(E10:E12="YES",I10:I12)),I10:I12,0)),"no feasible tier")</f>
        <v/>
      </c>
      <c r="F18" s="10">
        <f>IFERROR(MIN(IF(E10:E12="YES",H10:H12)),"")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50" customWidth="1" min="7" max="7"/>
  </cols>
  <sheetData>
    <row r="1">
      <c r="A1" s="1" t="inlineStr">
        <is>
          <t>PART 1 — Max servable model size by tier × SLA throughput</t>
        </is>
      </c>
    </row>
    <row r="2">
      <c r="A2" t="inlineStr">
        <is>
          <t>How large a model can each tier serve at the SLA (Assumptions!B2 tok/s)?</t>
        </is>
      </c>
    </row>
    <row r="3">
      <c r="A3" s="2" t="inlineStr">
        <is>
          <t>Tier</t>
        </is>
      </c>
      <c r="B3" s="2" t="inlineStr">
        <is>
          <t>BW (GB/s)</t>
        </is>
      </c>
      <c r="C3" s="2" t="inlineStr">
        <is>
          <t>Capacity (GB)</t>
        </is>
      </c>
      <c r="D3" s="2" t="inlineStr">
        <is>
          <t>Max model size
@ SLA (GB)</t>
        </is>
      </c>
      <c r="E3" s="2" t="inlineStr">
        <is>
          <t>Approx param
count (B)</t>
        </is>
      </c>
      <c r="F3" s="2" t="inlineStr">
        <is>
          <t>SLA feasible?</t>
        </is>
      </c>
    </row>
    <row r="4">
      <c r="A4">
        <f>Tiers!A2</f>
        <v/>
      </c>
      <c r="B4" s="12">
        <f>Tiers!B2</f>
        <v/>
      </c>
      <c r="C4" s="12">
        <f>Tiers!C2</f>
        <v/>
      </c>
      <c r="D4" s="11">
        <f>MIN(Tiers!C2,Tiers!B2*Regions!C2/Regions!E2)</f>
        <v/>
      </c>
      <c r="E4" s="13">
        <f>ROUND(D4/0.55,1)</f>
        <v/>
      </c>
      <c r="F4">
        <f>IF(Tiers!B2&gt;=Assumptions!B12,"YES","NO")</f>
        <v/>
      </c>
    </row>
    <row r="5">
      <c r="A5">
        <f>Tiers!A3</f>
        <v/>
      </c>
      <c r="B5" s="12">
        <f>Tiers!B3</f>
        <v/>
      </c>
      <c r="C5" s="12">
        <f>Tiers!C3</f>
        <v/>
      </c>
      <c r="D5" s="11">
        <f>MIN(Tiers!C3,Tiers!B3*Regions!C2/Regions!E2)</f>
        <v/>
      </c>
      <c r="E5" s="13">
        <f>ROUND(D5/0.55,1)</f>
        <v/>
      </c>
      <c r="F5">
        <f>IF(Tiers!B3&gt;=Assumptions!B12,"YES","NO")</f>
        <v/>
      </c>
    </row>
    <row r="6">
      <c r="A6">
        <f>Tiers!A4</f>
        <v/>
      </c>
      <c r="B6" s="12">
        <f>Tiers!B4</f>
        <v/>
      </c>
      <c r="C6" s="12">
        <f>Tiers!C4</f>
        <v/>
      </c>
      <c r="D6" s="11">
        <f>MIN(Tiers!C4,Tiers!B4*Regions!C2/Regions!E2)</f>
        <v/>
      </c>
      <c r="E6" s="13">
        <f>ROUND(D6/0.55,1)</f>
        <v/>
      </c>
      <c r="F6">
        <f>IF(Tiers!B4&gt;=Assumptions!B12,"YES","NO")</f>
        <v/>
      </c>
    </row>
    <row r="9">
      <c r="A9" s="1" t="inlineStr">
        <is>
          <t>PART 2 — Reused-vs-new gCO2e per inference job vs utilisation</t>
        </is>
      </c>
    </row>
    <row r="10">
      <c r="A10" t="inlineStr">
        <is>
          <t>At what utilisation does keeping the reused server beat buying new?</t>
        </is>
      </c>
    </row>
    <row r="11">
      <c r="A11" s="2" t="inlineStr">
        <is>
          <t>Utilisation</t>
        </is>
      </c>
      <c r="B11" s="2" t="inlineStr">
        <is>
          <t>Reused
operational
(kgCO2e/job)</t>
        </is>
      </c>
      <c r="C11" s="2" t="inlineStr">
        <is>
          <t>Reused
embodied
(kgCO2e/job)</t>
        </is>
      </c>
      <c r="D11" s="2" t="inlineStr">
        <is>
          <t>Reused total
(kgCO2e/job)</t>
        </is>
      </c>
      <c r="E11" s="2" t="inlineStr">
        <is>
          <t>New total
(kgCO2e/job)</t>
        </is>
      </c>
      <c r="F11" s="2" t="inlineStr">
        <is>
          <t>Winner</t>
        </is>
      </c>
    </row>
    <row r="12">
      <c r="A12" s="14" t="n">
        <v>0.1</v>
      </c>
      <c r="B12" s="15">
        <f>Assumptions!B10/1000*(1/(Assumptions!B2*3600/256))*Assumptions!B4/1000</f>
        <v/>
      </c>
      <c r="C12" s="15">
        <f>IF(((Assumptions!B6-Assumptions!B5)*Assumptions!B9*A12)&gt;0,40/(((Assumptions!B6-Assumptions!B5)*Assumptions!B9*A12)*(Assumptions!B2*3600/256)),0)</f>
        <v/>
      </c>
      <c r="D12" s="15">
        <f>B12+C12</f>
        <v/>
      </c>
      <c r="E12" s="15">
        <f>Assumptions!B11/1000*(1/(Assumptions!B2*3600/256))*Assumptions!B4/1000+Assumptions!B7/((Assumptions!B8*Assumptions!B9*A12)*(Assumptions!B2*3600/256))</f>
        <v/>
      </c>
      <c r="F12" s="1">
        <f>IF(D12&lt;E12,"REUSED","NEW")</f>
        <v/>
      </c>
    </row>
    <row r="13">
      <c r="A13" s="14" t="n">
        <v>0.25</v>
      </c>
      <c r="B13" s="15">
        <f>Assumptions!B10/1000*(1/(Assumptions!B2*3600/256))*Assumptions!B4/1000</f>
        <v/>
      </c>
      <c r="C13" s="15">
        <f>IF(((Assumptions!B6-Assumptions!B5)*Assumptions!B9*A13)&gt;0,40/(((Assumptions!B6-Assumptions!B5)*Assumptions!B9*A13)*(Assumptions!B2*3600/256)),0)</f>
        <v/>
      </c>
      <c r="D13" s="15">
        <f>B13+C13</f>
        <v/>
      </c>
      <c r="E13" s="15">
        <f>Assumptions!B11/1000*(1/(Assumptions!B2*3600/256))*Assumptions!B4/1000+Assumptions!B7/((Assumptions!B8*Assumptions!B9*A13)*(Assumptions!B2*3600/256))</f>
        <v/>
      </c>
      <c r="F13" s="1">
        <f>IF(D13&lt;E13,"REUSED","NEW")</f>
        <v/>
      </c>
    </row>
    <row r="14">
      <c r="A14" s="14" t="n">
        <v>0.5</v>
      </c>
      <c r="B14" s="15">
        <f>Assumptions!B10/1000*(1/(Assumptions!B2*3600/256))*Assumptions!B4/1000</f>
        <v/>
      </c>
      <c r="C14" s="15">
        <f>IF(((Assumptions!B6-Assumptions!B5)*Assumptions!B9*A14)&gt;0,40/(((Assumptions!B6-Assumptions!B5)*Assumptions!B9*A14)*(Assumptions!B2*3600/256)),0)</f>
        <v/>
      </c>
      <c r="D14" s="15">
        <f>B14+C14</f>
        <v/>
      </c>
      <c r="E14" s="15">
        <f>Assumptions!B11/1000*(1/(Assumptions!B2*3600/256))*Assumptions!B4/1000+Assumptions!B7/((Assumptions!B8*Assumptions!B9*A14)*(Assumptions!B2*3600/256))</f>
        <v/>
      </c>
      <c r="F14" s="1">
        <f>IF(D14&lt;E14,"REUSED","NEW")</f>
        <v/>
      </c>
    </row>
    <row r="15">
      <c r="A15" s="14" t="n">
        <v>0.75</v>
      </c>
      <c r="B15" s="15">
        <f>Assumptions!B10/1000*(1/(Assumptions!B2*3600/256))*Assumptions!B4/1000</f>
        <v/>
      </c>
      <c r="C15" s="15">
        <f>IF(((Assumptions!B6-Assumptions!B5)*Assumptions!B9*A15)&gt;0,40/(((Assumptions!B6-Assumptions!B5)*Assumptions!B9*A15)*(Assumptions!B2*3600/256)),0)</f>
        <v/>
      </c>
      <c r="D15" s="15">
        <f>B15+C15</f>
        <v/>
      </c>
      <c r="E15" s="15">
        <f>Assumptions!B11/1000*(1/(Assumptions!B2*3600/256))*Assumptions!B4/1000+Assumptions!B7/((Assumptions!B8*Assumptions!B9*A15)*(Assumptions!B2*3600/256))</f>
        <v/>
      </c>
      <c r="F15" s="1">
        <f>IF(D15&lt;E15,"REUSED","NEW")</f>
        <v/>
      </c>
    </row>
    <row r="16">
      <c r="A16" s="14" t="n">
        <v>1</v>
      </c>
      <c r="B16" s="15">
        <f>Assumptions!B10/1000*(1/(Assumptions!B2*3600/256))*Assumptions!B4/1000</f>
        <v/>
      </c>
      <c r="C16" s="15">
        <f>IF(((Assumptions!B6-Assumptions!B5)*Assumptions!B9*A16)&gt;0,40/(((Assumptions!B6-Assumptions!B5)*Assumptions!B9*A16)*(Assumptions!B2*3600/256)),0)</f>
        <v/>
      </c>
      <c r="D16" s="15">
        <f>B16+C16</f>
        <v/>
      </c>
      <c r="E16" s="15">
        <f>Assumptions!B11/1000*(1/(Assumptions!B2*3600/256))*Assumptions!B4/1000+Assumptions!B7/((Assumptions!B8*Assumptions!B9*A16)*(Assumptions!B2*3600/256))</f>
        <v/>
      </c>
      <c r="F16" s="1">
        <f>IF(D16&lt;E16,"REUSED","NEW")</f>
        <v/>
      </c>
    </row>
    <row r="18">
      <c r="A18" s="16" t="inlineStr">
        <is>
          <t>Crossover = utilisation where Winner flips from REUSED to NEW.</t>
        </is>
      </c>
    </row>
    <row r="19">
      <c r="A19" s="16" t="inlineStr">
        <is>
          <t>Sensitivity: rerun with grid intensity = 50 (clean) and 350 (dirty grid) — report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2026-06-28T20:07:36Z</dcterms:created>
  <dcterms:modified xsi:type="dcterms:W3CDTF">2026-06-28T20:08:53Z</dcterms:modified>
</cp:coreProperties>
</file>